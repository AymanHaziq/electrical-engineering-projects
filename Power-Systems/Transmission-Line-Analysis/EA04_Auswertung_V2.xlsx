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zwickau-my.sharepoint.com/personal/fariz_bin_aqtar_fariq_syahril_oen_whz_de/Documents/Sem 4/ELT04630 E. Anlagen u. Energiesysteme 1/EA04/"/>
    </mc:Choice>
  </mc:AlternateContent>
  <xr:revisionPtr revIDLastSave="298" documentId="8_{1C9DF71D-9940-4228-BB70-157F31706653}" xr6:coauthVersionLast="47" xr6:coauthVersionMax="47" xr10:uidLastSave="{EA8DE8CD-8B8C-4984-B791-FA85BC2DE115}"/>
  <bookViews>
    <workbookView xWindow="-120" yWindow="-120" windowWidth="29040" windowHeight="18240" xr2:uid="{9812ABF5-7F91-47D3-9A44-F35F57E41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6" i="1" l="1"/>
  <c r="E16" i="1" s="1"/>
  <c r="F37" i="1"/>
  <c r="F38" i="1"/>
  <c r="F39" i="1"/>
  <c r="F40" i="1"/>
  <c r="F36" i="1"/>
  <c r="F45" i="1"/>
  <c r="E37" i="1"/>
  <c r="E38" i="1"/>
  <c r="E39" i="1"/>
  <c r="E40" i="1"/>
  <c r="E36" i="1"/>
  <c r="E45" i="1"/>
  <c r="G81" i="1"/>
  <c r="G82" i="1"/>
  <c r="G83" i="1"/>
  <c r="G84" i="1"/>
  <c r="G85" i="1"/>
  <c r="G86" i="1"/>
  <c r="G80" i="1"/>
  <c r="F81" i="1"/>
  <c r="F82" i="1"/>
  <c r="F83" i="1"/>
  <c r="F84" i="1"/>
  <c r="F85" i="1"/>
  <c r="F86" i="1"/>
  <c r="F80" i="1"/>
  <c r="E81" i="1"/>
  <c r="E82" i="1"/>
  <c r="E83" i="1"/>
  <c r="E84" i="1"/>
  <c r="E85" i="1"/>
  <c r="E86" i="1"/>
  <c r="E80" i="1"/>
  <c r="E68" i="1"/>
  <c r="G69" i="1"/>
  <c r="G70" i="1"/>
  <c r="G71" i="1"/>
  <c r="G72" i="1"/>
  <c r="G73" i="1"/>
  <c r="G74" i="1"/>
  <c r="G68" i="1"/>
  <c r="G57" i="1"/>
  <c r="G58" i="1"/>
  <c r="G59" i="1"/>
  <c r="G60" i="1"/>
  <c r="G61" i="1"/>
  <c r="G62" i="1"/>
  <c r="G56" i="1"/>
  <c r="F69" i="1"/>
  <c r="F70" i="1"/>
  <c r="F71" i="1"/>
  <c r="F72" i="1"/>
  <c r="F73" i="1"/>
  <c r="F74" i="1"/>
  <c r="F68" i="1"/>
  <c r="E69" i="1"/>
  <c r="E70" i="1"/>
  <c r="E71" i="1"/>
  <c r="E72" i="1"/>
  <c r="E73" i="1"/>
  <c r="E74" i="1"/>
  <c r="F57" i="1"/>
  <c r="F58" i="1"/>
  <c r="F59" i="1"/>
  <c r="F60" i="1"/>
  <c r="F61" i="1"/>
  <c r="F62" i="1"/>
  <c r="F56" i="1"/>
  <c r="E57" i="1"/>
  <c r="H57" i="1" s="1"/>
  <c r="E58" i="1"/>
  <c r="H58" i="1" s="1"/>
  <c r="E59" i="1"/>
  <c r="E60" i="1"/>
  <c r="E61" i="1"/>
  <c r="E62" i="1"/>
  <c r="E56" i="1"/>
  <c r="F46" i="1"/>
  <c r="F47" i="1"/>
  <c r="F48" i="1"/>
  <c r="F49" i="1"/>
  <c r="E47" i="1"/>
  <c r="E46" i="1"/>
  <c r="E48" i="1"/>
  <c r="E49" i="1"/>
  <c r="E23" i="1"/>
  <c r="I23" i="1" s="1"/>
  <c r="D23" i="1"/>
  <c r="H23" i="1" s="1"/>
  <c r="D16" i="1"/>
  <c r="G16" i="1" s="1"/>
  <c r="E6" i="1"/>
  <c r="E7" i="1"/>
  <c r="E8" i="1"/>
  <c r="F6" i="1"/>
  <c r="F7" i="1"/>
  <c r="F8" i="1"/>
  <c r="H61" i="1" l="1"/>
  <c r="H56" i="1"/>
  <c r="H62" i="1"/>
  <c r="H60" i="1"/>
  <c r="H59" i="1"/>
  <c r="H16" i="1"/>
  <c r="F16" i="1"/>
  <c r="I16" i="1" s="1"/>
  <c r="F23" i="1"/>
  <c r="J23" i="1" l="1"/>
  <c r="G23" i="1"/>
  <c r="K23" i="1" s="1"/>
</calcChain>
</file>

<file path=xl/sharedStrings.xml><?xml version="1.0" encoding="utf-8"?>
<sst xmlns="http://schemas.openxmlformats.org/spreadsheetml/2006/main" count="136" uniqueCount="74">
  <si>
    <t>MpA</t>
  </si>
  <si>
    <t>Mp1</t>
  </si>
  <si>
    <t>Mp2</t>
  </si>
  <si>
    <t>Mp3</t>
  </si>
  <si>
    <t>Mp4</t>
  </si>
  <si>
    <t>Mp5</t>
  </si>
  <si>
    <t>MpB</t>
  </si>
  <si>
    <t>Punkt</t>
  </si>
  <si>
    <t>U</t>
  </si>
  <si>
    <t>I</t>
  </si>
  <si>
    <t>P</t>
  </si>
  <si>
    <t>Q</t>
  </si>
  <si>
    <t>Teil 3.2 Ausfall der Freileitung F6</t>
  </si>
  <si>
    <t>Teil 3.1 Betrieb bei gleichen Speisespannungen</t>
  </si>
  <si>
    <t>Gruppe 3:Versuch EA04</t>
  </si>
  <si>
    <t>Teil 3.3 Betrieb bei ungleichen Speisespannungen</t>
  </si>
  <si>
    <r>
      <t>l</t>
    </r>
    <r>
      <rPr>
        <b/>
        <sz val="8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</si>
  <si>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l</t>
    </r>
    <r>
      <rPr>
        <b/>
        <sz val="8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</si>
  <si>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l</t>
    </r>
    <r>
      <rPr>
        <b/>
        <sz val="8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</si>
  <si>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I</t>
    </r>
    <r>
      <rPr>
        <b/>
        <sz val="8"/>
        <color theme="1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</si>
  <si>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I</t>
    </r>
    <r>
      <rPr>
        <b/>
        <sz val="8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 xml:space="preserve"> (A)</t>
    </r>
  </si>
  <si>
    <t>Teil 3</t>
  </si>
  <si>
    <t>Versuchsvorbereitung für Teil 3</t>
  </si>
  <si>
    <t>Teil 1</t>
  </si>
  <si>
    <r>
      <t>P</t>
    </r>
    <r>
      <rPr>
        <sz val="9"/>
        <color theme="1"/>
        <rFont val="Aptos Narrow"/>
        <family val="2"/>
        <scheme val="minor"/>
      </rPr>
      <t>K</t>
    </r>
  </si>
  <si>
    <r>
      <t>I</t>
    </r>
    <r>
      <rPr>
        <sz val="8"/>
        <color theme="1"/>
        <rFont val="Aptos Narrow"/>
        <family val="2"/>
        <scheme val="minor"/>
      </rPr>
      <t>K</t>
    </r>
  </si>
  <si>
    <r>
      <t>U</t>
    </r>
    <r>
      <rPr>
        <sz val="9"/>
        <color theme="1"/>
        <rFont val="Aptos Narrow"/>
        <family val="2"/>
        <scheme val="minor"/>
      </rPr>
      <t>K</t>
    </r>
  </si>
  <si>
    <r>
      <t>P</t>
    </r>
    <r>
      <rPr>
        <sz val="9"/>
        <color theme="1"/>
        <rFont val="Aptos Narrow"/>
        <family val="2"/>
        <scheme val="minor"/>
      </rPr>
      <t>0</t>
    </r>
  </si>
  <si>
    <r>
      <t>U</t>
    </r>
    <r>
      <rPr>
        <sz val="9"/>
        <color theme="1"/>
        <rFont val="Aptos Narrow"/>
        <family val="2"/>
        <scheme val="minor"/>
      </rPr>
      <t>0</t>
    </r>
  </si>
  <si>
    <r>
      <t>I</t>
    </r>
    <r>
      <rPr>
        <sz val="9"/>
        <color theme="1"/>
        <rFont val="Aptos Narrow"/>
        <family val="2"/>
        <scheme val="minor"/>
      </rPr>
      <t>0</t>
    </r>
  </si>
  <si>
    <r>
      <t>B</t>
    </r>
    <r>
      <rPr>
        <sz val="9"/>
        <color theme="1"/>
        <rFont val="Aptos Narrow"/>
        <family val="2"/>
        <scheme val="minor"/>
      </rPr>
      <t>b</t>
    </r>
  </si>
  <si>
    <r>
      <t>G</t>
    </r>
    <r>
      <rPr>
        <sz val="9"/>
        <color theme="1"/>
        <rFont val="Aptos Narrow"/>
        <family val="2"/>
        <scheme val="minor"/>
      </rPr>
      <t>b</t>
    </r>
  </si>
  <si>
    <r>
      <t>C</t>
    </r>
    <r>
      <rPr>
        <sz val="9"/>
        <color theme="1"/>
        <rFont val="Aptos Narrow"/>
        <family val="2"/>
        <scheme val="minor"/>
      </rPr>
      <t>b</t>
    </r>
  </si>
  <si>
    <r>
      <t>G</t>
    </r>
    <r>
      <rPr>
        <sz val="9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'</t>
    </r>
  </si>
  <si>
    <r>
      <t>B</t>
    </r>
    <r>
      <rPr>
        <sz val="9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'</t>
    </r>
  </si>
  <si>
    <r>
      <t>C</t>
    </r>
    <r>
      <rPr>
        <sz val="9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'</t>
    </r>
  </si>
  <si>
    <r>
      <t>L</t>
    </r>
    <r>
      <rPr>
        <sz val="9"/>
        <color theme="1"/>
        <rFont val="Aptos Narrow"/>
        <family val="2"/>
        <scheme val="minor"/>
      </rPr>
      <t>b</t>
    </r>
  </si>
  <si>
    <r>
      <t>X</t>
    </r>
    <r>
      <rPr>
        <sz val="9"/>
        <color theme="1"/>
        <rFont val="Aptos Narrow"/>
        <family val="2"/>
        <scheme val="minor"/>
      </rPr>
      <t>L</t>
    </r>
  </si>
  <si>
    <r>
      <t>R</t>
    </r>
    <r>
      <rPr>
        <sz val="9"/>
        <color theme="1"/>
        <rFont val="Aptos Narrow"/>
        <family val="2"/>
        <scheme val="minor"/>
      </rPr>
      <t>L</t>
    </r>
  </si>
  <si>
    <r>
      <t>Z</t>
    </r>
    <r>
      <rPr>
        <sz val="9"/>
        <color theme="1"/>
        <rFont val="Aptos Narrow"/>
        <family val="2"/>
        <scheme val="minor"/>
      </rPr>
      <t>L</t>
    </r>
  </si>
  <si>
    <r>
      <t>Z</t>
    </r>
    <r>
      <rPr>
        <sz val="9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>'</t>
    </r>
  </si>
  <si>
    <r>
      <t>R</t>
    </r>
    <r>
      <rPr>
        <sz val="9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>'</t>
    </r>
  </si>
  <si>
    <r>
      <t>X</t>
    </r>
    <r>
      <rPr>
        <sz val="9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>'</t>
    </r>
  </si>
  <si>
    <r>
      <t>L</t>
    </r>
    <r>
      <rPr>
        <sz val="9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'</t>
    </r>
  </si>
  <si>
    <t>Teil 2</t>
  </si>
  <si>
    <t>3 Leerlauflaufbetrieb einer 450km langen 220 kV FL</t>
  </si>
  <si>
    <t>1.Leerlaufversuch (100km lange 220kV FL )</t>
  </si>
  <si>
    <t>2 Kurzschlussversuch (100 kmlange 220kV FL)</t>
  </si>
  <si>
    <t>a) Unkompensierte Leitung</t>
  </si>
  <si>
    <t>UoA</t>
  </si>
  <si>
    <t>IoA</t>
  </si>
  <si>
    <t>PoA</t>
  </si>
  <si>
    <t>QoA</t>
  </si>
  <si>
    <t>UoE</t>
  </si>
  <si>
    <t>b) kompensation der Kapazitivän Ladeleistung mit Ladedrosselspule</t>
  </si>
  <si>
    <t>XL1</t>
  </si>
  <si>
    <t>XL2</t>
  </si>
  <si>
    <t>XL3</t>
  </si>
  <si>
    <t>XL4</t>
  </si>
  <si>
    <t>UoB</t>
  </si>
  <si>
    <t>IoB</t>
  </si>
  <si>
    <t>PoB</t>
  </si>
  <si>
    <t>QoB</t>
  </si>
  <si>
    <t>Am Leitungsanfang</t>
  </si>
  <si>
    <t>Am Leitungsende</t>
  </si>
  <si>
    <t>c) kompensation der Kapazitivän Ladeleistung mit Ladedrosselspule</t>
  </si>
  <si>
    <t>Zu messen</t>
  </si>
  <si>
    <t>Zu brechnen</t>
  </si>
  <si>
    <t>XL0</t>
  </si>
  <si>
    <r>
      <t>Q</t>
    </r>
    <r>
      <rPr>
        <sz val="9"/>
        <color theme="1"/>
        <rFont val="Aptos Narrow"/>
        <family val="2"/>
        <scheme val="minor"/>
      </rPr>
      <t>0</t>
    </r>
  </si>
  <si>
    <t>Natürlichen Werte</t>
  </si>
  <si>
    <t>Netzmodell</t>
  </si>
  <si>
    <t>natürlichen Werte</t>
  </si>
  <si>
    <t>&lt;-- Q TAK PASTI RICHTIG ODER NICHT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</si>
</sst>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0" fillId="6" borderId="0" xfId="0" applyFill="1"/>
    <xf numFmtId="0" fontId="0" fillId="10" borderId="1" xfId="0" applyFill="1" applyBorder="1"/>
    <xf numFmtId="0" fontId="0" fillId="7" borderId="1" xfId="0" applyFill="1" applyBorder="1"/>
    <xf numFmtId="0" fontId="0" fillId="11" borderId="0" xfId="0" applyFill="1"/>
    <xf numFmtId="0" fontId="0" fillId="2" borderId="0" xfId="0" applyFill="1"/>
    <xf numFmtId="3" fontId="0" fillId="2" borderId="1" xfId="0" applyNumberFormat="1" applyFill="1" applyBorder="1"/>
    <xf numFmtId="0" fontId="0" fillId="12" borderId="1" xfId="0" applyFill="1" applyBorder="1"/>
    <xf numFmtId="0" fontId="1" fillId="13" borderId="0" xfId="0" applyFont="1" applyFill="1" applyAlignment="1">
      <alignment horizontal="center"/>
    </xf>
    <xf numFmtId="0" fontId="0" fillId="6" borderId="6" xfId="0" applyFill="1" applyBorder="1"/>
    <xf numFmtId="0" fontId="0" fillId="2" borderId="6" xfId="0" applyFill="1" applyBorder="1"/>
    <xf numFmtId="0" fontId="1" fillId="0" borderId="0" xfId="0" applyFont="1" applyAlignment="1">
      <alignment horizontal="center"/>
    </xf>
    <xf numFmtId="0" fontId="0" fillId="14" borderId="1" xfId="0" applyFill="1" applyBorder="1"/>
    <xf numFmtId="0" fontId="0" fillId="14" borderId="0" xfId="0" applyFill="1"/>
    <xf numFmtId="0" fontId="1" fillId="14" borderId="1" xfId="0" applyFont="1" applyFill="1" applyBorder="1"/>
    <xf numFmtId="0" fontId="0" fillId="13" borderId="1" xfId="0" applyFill="1" applyBorder="1"/>
    <xf numFmtId="0" fontId="0" fillId="13" borderId="0" xfId="0" applyFill="1"/>
    <xf numFmtId="0" fontId="0" fillId="8" borderId="4" xfId="0" applyFill="1" applyBorder="1"/>
    <xf numFmtId="0" fontId="0" fillId="14" borderId="4" xfId="0" applyFill="1" applyBorder="1"/>
    <xf numFmtId="0" fontId="1" fillId="0" borderId="3" xfId="0" applyFont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29EE-63E4-4E69-B344-C2F029DF19CE}">
  <dimension ref="A2:M87"/>
  <sheetViews>
    <sheetView tabSelected="1" topLeftCell="A51" zoomScale="160" zoomScaleNormal="160" workbookViewId="0">
      <selection activeCell="I55" sqref="I55:K62"/>
    </sheetView>
  </sheetViews>
  <sheetFormatPr defaultRowHeight="15" x14ac:dyDescent="0.25"/>
  <cols>
    <col min="4" max="4" width="13.140625" bestFit="1" customWidth="1"/>
    <col min="6" max="9" width="13.140625" bestFit="1" customWidth="1"/>
    <col min="11" max="11" width="13.140625" bestFit="1" customWidth="1"/>
    <col min="13" max="13" width="17" bestFit="1" customWidth="1"/>
  </cols>
  <sheetData>
    <row r="2" spans="1:13" x14ac:dyDescent="0.25">
      <c r="A2" s="33" t="s">
        <v>14</v>
      </c>
      <c r="B2" s="33"/>
      <c r="C2" s="33"/>
      <c r="D2" s="33"/>
      <c r="E2" s="33"/>
    </row>
    <row r="3" spans="1:13" x14ac:dyDescent="0.25">
      <c r="L3" s="9"/>
      <c r="M3" t="s">
        <v>67</v>
      </c>
    </row>
    <row r="4" spans="1:13" x14ac:dyDescent="0.25">
      <c r="A4" s="32" t="s">
        <v>22</v>
      </c>
      <c r="B4" s="32"/>
      <c r="C4" s="32"/>
      <c r="D4" s="32"/>
      <c r="E4" s="32"/>
      <c r="F4" s="32"/>
      <c r="L4" s="10"/>
      <c r="M4" t="s">
        <v>66</v>
      </c>
    </row>
    <row r="5" spans="1:13" x14ac:dyDescent="0.25">
      <c r="A5" s="1"/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L5" s="13"/>
      <c r="M5" t="s">
        <v>70</v>
      </c>
    </row>
    <row r="6" spans="1:13" x14ac:dyDescent="0.25">
      <c r="A6" s="2">
        <v>3.1</v>
      </c>
      <c r="B6" s="3">
        <v>100</v>
      </c>
      <c r="C6" s="3">
        <v>200</v>
      </c>
      <c r="D6" s="3">
        <v>190</v>
      </c>
      <c r="E6" s="3">
        <f>(B6*28+C6*12+D6*8)/36</f>
        <v>186.66666666666666</v>
      </c>
      <c r="F6" s="3">
        <f>(B6*8+C6*24+D6*28)/36</f>
        <v>303.33333333333331</v>
      </c>
    </row>
    <row r="7" spans="1:13" x14ac:dyDescent="0.25">
      <c r="A7" s="2">
        <v>3.2</v>
      </c>
      <c r="B7" s="3">
        <v>100</v>
      </c>
      <c r="C7" s="3">
        <v>200</v>
      </c>
      <c r="D7" s="3">
        <v>180</v>
      </c>
      <c r="E7" s="3">
        <f t="shared" ref="E7:E8" si="0">(B7*28+C7*12+D7*8)/36</f>
        <v>184.44444444444446</v>
      </c>
      <c r="F7" s="3">
        <f>(B7*8+C7*24+D7*28)/36</f>
        <v>295.55555555555554</v>
      </c>
    </row>
    <row r="8" spans="1:13" x14ac:dyDescent="0.25">
      <c r="A8" s="2">
        <v>3.3</v>
      </c>
      <c r="B8" s="3">
        <v>100</v>
      </c>
      <c r="C8" s="3">
        <v>200</v>
      </c>
      <c r="D8" s="3">
        <v>190</v>
      </c>
      <c r="E8" s="3">
        <f t="shared" si="0"/>
        <v>186.66666666666666</v>
      </c>
      <c r="F8" s="3">
        <f>(B8*8+C8*24+D8*28)/36</f>
        <v>303.33333333333331</v>
      </c>
    </row>
    <row r="9" spans="1:13" x14ac:dyDescent="0.25">
      <c r="A9" s="5"/>
    </row>
    <row r="11" spans="1:13" x14ac:dyDescent="0.25">
      <c r="A11" s="34" t="s">
        <v>23</v>
      </c>
      <c r="B11" s="34"/>
      <c r="C11" s="34"/>
      <c r="D11" s="34"/>
      <c r="E11" s="34"/>
    </row>
    <row r="12" spans="1:13" x14ac:dyDescent="0.25">
      <c r="A12" s="5"/>
    </row>
    <row r="13" spans="1:13" x14ac:dyDescent="0.25">
      <c r="A13" s="3">
        <v>0.52600000000000002</v>
      </c>
      <c r="B13" s="3">
        <v>132.9</v>
      </c>
      <c r="C13" s="3">
        <v>2</v>
      </c>
      <c r="D13" s="3"/>
      <c r="E13" s="3"/>
      <c r="F13" s="3"/>
      <c r="G13" s="3"/>
      <c r="H13" s="3"/>
      <c r="I13" s="3"/>
    </row>
    <row r="14" spans="1:13" x14ac:dyDescent="0.25">
      <c r="A14" s="43" t="s">
        <v>46</v>
      </c>
      <c r="B14" s="43"/>
      <c r="C14" s="43"/>
      <c r="D14" s="43"/>
      <c r="E14" s="43"/>
      <c r="F14" s="43"/>
      <c r="G14" s="43"/>
      <c r="H14" s="43"/>
      <c r="I14" s="43"/>
    </row>
    <row r="15" spans="1:13" x14ac:dyDescent="0.25">
      <c r="A15" s="6" t="s">
        <v>29</v>
      </c>
      <c r="B15" s="6" t="s">
        <v>28</v>
      </c>
      <c r="C15" s="6" t="s">
        <v>27</v>
      </c>
      <c r="D15" s="8" t="s">
        <v>31</v>
      </c>
      <c r="E15" s="8" t="s">
        <v>30</v>
      </c>
      <c r="F15" s="8" t="s">
        <v>32</v>
      </c>
      <c r="G15" s="8" t="s">
        <v>33</v>
      </c>
      <c r="H15" s="8" t="s">
        <v>34</v>
      </c>
      <c r="I15" s="8" t="s">
        <v>35</v>
      </c>
      <c r="K15" s="8" t="s">
        <v>69</v>
      </c>
    </row>
    <row r="16" spans="1:13" x14ac:dyDescent="0.25">
      <c r="A16" s="22">
        <v>52.6</v>
      </c>
      <c r="B16" s="22">
        <v>132900</v>
      </c>
      <c r="C16" s="22">
        <v>200000</v>
      </c>
      <c r="D16" s="22">
        <f>C16/(B16*B16)</f>
        <v>1.1323483035440803E-5</v>
      </c>
      <c r="E16" s="22">
        <f>K16/(B16*B16)</f>
        <v>3.9562428938024911E-4</v>
      </c>
      <c r="F16" s="22">
        <f>E16/(2*3.142*50)</f>
        <v>1.2591479611083677E-6</v>
      </c>
      <c r="G16" s="22">
        <f>D16/100</f>
        <v>1.1323483035440803E-7</v>
      </c>
      <c r="H16" s="22">
        <f>E16/100</f>
        <v>3.9562428938024908E-6</v>
      </c>
      <c r="I16" s="22">
        <f>F16/100</f>
        <v>1.2591479611083677E-8</v>
      </c>
      <c r="K16" s="21">
        <f>SQRT((B16*A16)^2-(C16)^2)</f>
        <v>6987678.4049926056</v>
      </c>
    </row>
    <row r="17" spans="1:11" x14ac:dyDescent="0.25">
      <c r="A17" s="5"/>
    </row>
    <row r="20" spans="1:11" x14ac:dyDescent="0.25">
      <c r="A20" s="3">
        <v>5</v>
      </c>
      <c r="B20" s="3">
        <v>16.8</v>
      </c>
      <c r="C20" s="3">
        <v>20</v>
      </c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44" t="s">
        <v>47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</row>
    <row r="22" spans="1:11" x14ac:dyDescent="0.25">
      <c r="A22" s="6" t="s">
        <v>25</v>
      </c>
      <c r="B22" s="6" t="s">
        <v>26</v>
      </c>
      <c r="C22" s="6" t="s">
        <v>24</v>
      </c>
      <c r="D22" s="8" t="s">
        <v>39</v>
      </c>
      <c r="E22" s="8" t="s">
        <v>38</v>
      </c>
      <c r="F22" s="8" t="s">
        <v>37</v>
      </c>
      <c r="G22" s="8" t="s">
        <v>36</v>
      </c>
      <c r="H22" s="8" t="s">
        <v>40</v>
      </c>
      <c r="I22" s="8" t="s">
        <v>41</v>
      </c>
      <c r="J22" s="8" t="s">
        <v>42</v>
      </c>
      <c r="K22" s="8" t="s">
        <v>43</v>
      </c>
    </row>
    <row r="23" spans="1:11" x14ac:dyDescent="0.25">
      <c r="A23" s="23">
        <v>500</v>
      </c>
      <c r="B23" s="21">
        <v>16800</v>
      </c>
      <c r="C23" s="21">
        <v>2000000</v>
      </c>
      <c r="D23" s="21">
        <f>B23/A23</f>
        <v>33.6</v>
      </c>
      <c r="E23" s="21">
        <f>C23/(A23^2)</f>
        <v>8</v>
      </c>
      <c r="F23" s="21">
        <f>SQRT(D23^2-E23^2)</f>
        <v>32.633724886993825</v>
      </c>
      <c r="G23" s="21">
        <f>F23/(2*3.142*50)</f>
        <v>0.10386290543282567</v>
      </c>
      <c r="H23" s="21">
        <f>D23/100</f>
        <v>0.33600000000000002</v>
      </c>
      <c r="I23" s="21">
        <f>E23/100</f>
        <v>0.08</v>
      </c>
      <c r="J23" s="21">
        <f>F23/100</f>
        <v>0.32633724886993826</v>
      </c>
      <c r="K23" s="21">
        <f>G23/100</f>
        <v>1.0386290543282566E-3</v>
      </c>
    </row>
    <row r="24" spans="1:11" x14ac:dyDescent="0.25">
      <c r="A24" s="5"/>
    </row>
    <row r="25" spans="1:11" x14ac:dyDescent="0.25">
      <c r="A25" s="34" t="s">
        <v>44</v>
      </c>
      <c r="B25" s="34"/>
      <c r="C25" s="34"/>
      <c r="D25" s="34"/>
      <c r="E25" s="34"/>
    </row>
    <row r="26" spans="1:11" x14ac:dyDescent="0.25">
      <c r="A26" s="5"/>
    </row>
    <row r="27" spans="1:11" x14ac:dyDescent="0.25">
      <c r="A27" s="32" t="s">
        <v>45</v>
      </c>
      <c r="B27" s="32"/>
      <c r="C27" s="32"/>
      <c r="D27" s="32"/>
      <c r="E27" s="32"/>
    </row>
    <row r="28" spans="1:11" x14ac:dyDescent="0.25">
      <c r="A28" s="35" t="s">
        <v>48</v>
      </c>
      <c r="B28" s="35"/>
      <c r="C28" s="35"/>
      <c r="D28" s="35"/>
      <c r="E28" s="35"/>
    </row>
    <row r="29" spans="1:11" x14ac:dyDescent="0.25">
      <c r="A29" s="6" t="s">
        <v>49</v>
      </c>
      <c r="B29" s="6" t="s">
        <v>53</v>
      </c>
      <c r="C29" s="6" t="s">
        <v>50</v>
      </c>
      <c r="D29" s="6" t="s">
        <v>51</v>
      </c>
      <c r="E29" s="6" t="s">
        <v>52</v>
      </c>
    </row>
    <row r="30" spans="1:11" x14ac:dyDescent="0.25">
      <c r="A30" s="3">
        <v>139.4</v>
      </c>
      <c r="B30" s="3">
        <v>158</v>
      </c>
      <c r="C30" s="4"/>
      <c r="D30" s="4"/>
      <c r="E30" s="4"/>
    </row>
    <row r="31" spans="1:11" x14ac:dyDescent="0.25">
      <c r="A31" s="5"/>
    </row>
    <row r="32" spans="1:11" x14ac:dyDescent="0.25">
      <c r="A32" s="5"/>
    </row>
    <row r="33" spans="1:13" x14ac:dyDescent="0.25">
      <c r="A33" s="49" t="s">
        <v>54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</row>
    <row r="34" spans="1:13" x14ac:dyDescent="0.25">
      <c r="A34" s="47"/>
      <c r="B34" s="48"/>
      <c r="C34" s="30" t="s">
        <v>71</v>
      </c>
      <c r="D34" s="30"/>
      <c r="E34" s="31" t="s">
        <v>72</v>
      </c>
      <c r="F34" s="31"/>
      <c r="G34" s="20"/>
      <c r="H34" s="20"/>
      <c r="I34" s="20"/>
      <c r="J34" s="20"/>
      <c r="K34" s="20"/>
    </row>
    <row r="35" spans="1:13" x14ac:dyDescent="0.25">
      <c r="A35" s="36" t="s">
        <v>63</v>
      </c>
      <c r="B35" s="37"/>
      <c r="C35" s="6" t="s">
        <v>49</v>
      </c>
      <c r="D35" s="16" t="s">
        <v>53</v>
      </c>
      <c r="E35" s="6" t="s">
        <v>49</v>
      </c>
      <c r="F35" s="16" t="s">
        <v>53</v>
      </c>
      <c r="G35" s="6" t="s">
        <v>51</v>
      </c>
      <c r="H35" s="6" t="s">
        <v>52</v>
      </c>
      <c r="I35" s="6" t="s">
        <v>59</v>
      </c>
      <c r="J35" s="6" t="s">
        <v>60</v>
      </c>
      <c r="K35" s="6" t="s">
        <v>61</v>
      </c>
      <c r="L35" s="6" t="s">
        <v>62</v>
      </c>
      <c r="M35" s="6" t="s">
        <v>50</v>
      </c>
    </row>
    <row r="36" spans="1:13" x14ac:dyDescent="0.25">
      <c r="A36" s="50" t="s">
        <v>68</v>
      </c>
      <c r="B36" s="50"/>
      <c r="C36" s="3">
        <v>139.4</v>
      </c>
      <c r="D36" s="3">
        <v>158</v>
      </c>
      <c r="E36" s="21">
        <f>C36*1000</f>
        <v>139400</v>
      </c>
      <c r="F36" s="21">
        <f>D36*1000</f>
        <v>158000</v>
      </c>
      <c r="G36" s="14"/>
      <c r="H36" s="14"/>
      <c r="I36" s="14"/>
      <c r="J36" s="14"/>
      <c r="K36" s="14"/>
      <c r="L36" s="14"/>
      <c r="M36" s="14"/>
    </row>
    <row r="37" spans="1:13" x14ac:dyDescent="0.25">
      <c r="A37" s="39" t="s">
        <v>55</v>
      </c>
      <c r="B37" s="40"/>
      <c r="C37" s="3">
        <v>134.69999999999999</v>
      </c>
      <c r="D37" s="3">
        <v>153.19999999999999</v>
      </c>
      <c r="E37" s="21">
        <f t="shared" ref="E37:E40" si="1">C37*1000</f>
        <v>134700</v>
      </c>
      <c r="F37" s="21">
        <f t="shared" ref="F37:F40" si="2">D37*1000</f>
        <v>153200</v>
      </c>
      <c r="G37" s="19"/>
      <c r="H37" s="4"/>
      <c r="I37" s="4"/>
      <c r="J37" s="4"/>
      <c r="K37" s="4"/>
      <c r="L37" s="4"/>
      <c r="M37" s="4"/>
    </row>
    <row r="38" spans="1:13" x14ac:dyDescent="0.25">
      <c r="A38" s="39" t="s">
        <v>56</v>
      </c>
      <c r="B38" s="40"/>
      <c r="C38" s="3">
        <v>130.69999999999999</v>
      </c>
      <c r="D38" s="3">
        <v>148.80000000000001</v>
      </c>
      <c r="E38" s="21">
        <f t="shared" si="1"/>
        <v>130699.99999999999</v>
      </c>
      <c r="F38" s="21">
        <f t="shared" si="2"/>
        <v>148800</v>
      </c>
      <c r="G38" s="19"/>
      <c r="H38" s="4"/>
      <c r="I38" s="4"/>
      <c r="J38" s="4"/>
      <c r="K38" s="14"/>
      <c r="L38" s="14"/>
      <c r="M38" s="4"/>
    </row>
    <row r="39" spans="1:13" x14ac:dyDescent="0.25">
      <c r="A39" s="39" t="s">
        <v>57</v>
      </c>
      <c r="B39" s="40"/>
      <c r="C39" s="3">
        <v>126.3</v>
      </c>
      <c r="D39" s="3">
        <v>143.80000000000001</v>
      </c>
      <c r="E39" s="21">
        <f t="shared" si="1"/>
        <v>126300</v>
      </c>
      <c r="F39" s="21">
        <f t="shared" si="2"/>
        <v>143800</v>
      </c>
      <c r="G39" s="19"/>
      <c r="H39" s="4"/>
      <c r="I39" s="4"/>
      <c r="J39" s="4"/>
      <c r="K39" s="4"/>
      <c r="L39" s="4"/>
      <c r="M39" s="4"/>
    </row>
    <row r="40" spans="1:13" x14ac:dyDescent="0.25">
      <c r="A40" s="39" t="s">
        <v>58</v>
      </c>
      <c r="B40" s="40"/>
      <c r="C40" s="3">
        <v>122.5</v>
      </c>
      <c r="D40" s="3">
        <v>138</v>
      </c>
      <c r="E40" s="21">
        <f t="shared" si="1"/>
        <v>122500</v>
      </c>
      <c r="F40" s="21">
        <f t="shared" si="2"/>
        <v>138000</v>
      </c>
      <c r="G40" s="19"/>
      <c r="H40" s="4"/>
      <c r="I40" s="4"/>
      <c r="J40" s="4"/>
      <c r="K40" s="4"/>
      <c r="L40" s="4"/>
      <c r="M40" s="15"/>
    </row>
    <row r="41" spans="1:13" x14ac:dyDescent="0.25">
      <c r="A41" s="5"/>
    </row>
    <row r="42" spans="1:13" x14ac:dyDescent="0.25">
      <c r="A42" s="49" t="s">
        <v>65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</row>
    <row r="43" spans="1:13" x14ac:dyDescent="0.25">
      <c r="A43" s="45"/>
      <c r="B43" s="46"/>
      <c r="C43" s="30" t="s">
        <v>71</v>
      </c>
      <c r="D43" s="30"/>
      <c r="E43" s="31" t="s">
        <v>72</v>
      </c>
      <c r="F43" s="31"/>
      <c r="G43" s="17"/>
      <c r="H43" s="17"/>
      <c r="I43" s="17"/>
      <c r="J43" s="17"/>
      <c r="K43" s="17"/>
    </row>
    <row r="44" spans="1:13" x14ac:dyDescent="0.25">
      <c r="A44" s="41" t="s">
        <v>64</v>
      </c>
      <c r="B44" s="41"/>
      <c r="C44" s="6" t="s">
        <v>49</v>
      </c>
      <c r="D44" s="16" t="s">
        <v>53</v>
      </c>
      <c r="E44" s="6" t="s">
        <v>49</v>
      </c>
      <c r="F44" s="16" t="s">
        <v>53</v>
      </c>
      <c r="G44" s="18" t="s">
        <v>51</v>
      </c>
      <c r="H44" s="6" t="s">
        <v>52</v>
      </c>
      <c r="I44" s="6" t="s">
        <v>59</v>
      </c>
      <c r="J44" s="6" t="s">
        <v>60</v>
      </c>
      <c r="K44" s="6" t="s">
        <v>61</v>
      </c>
      <c r="L44" s="6" t="s">
        <v>62</v>
      </c>
      <c r="M44" s="6" t="s">
        <v>50</v>
      </c>
    </row>
    <row r="45" spans="1:13" x14ac:dyDescent="0.25">
      <c r="A45" s="38" t="s">
        <v>68</v>
      </c>
      <c r="B45" s="42"/>
      <c r="C45" s="3">
        <v>139.69999999999999</v>
      </c>
      <c r="D45" s="3">
        <v>158.80000000000001</v>
      </c>
      <c r="E45" s="21">
        <f>C45*1000</f>
        <v>139700</v>
      </c>
      <c r="F45" s="21">
        <f>D45*1000</f>
        <v>158800</v>
      </c>
      <c r="G45" s="19"/>
      <c r="H45" s="4"/>
      <c r="I45" s="4"/>
      <c r="J45" s="4"/>
      <c r="K45" s="4"/>
      <c r="L45" s="4"/>
      <c r="M45" s="4"/>
    </row>
    <row r="46" spans="1:13" x14ac:dyDescent="0.25">
      <c r="A46" s="38" t="s">
        <v>55</v>
      </c>
      <c r="B46" s="38"/>
      <c r="C46" s="3">
        <v>134.69999999999999</v>
      </c>
      <c r="D46" s="3">
        <v>133.5</v>
      </c>
      <c r="E46" s="21">
        <f t="shared" ref="E46:E49" si="3">C46*1000</f>
        <v>134700</v>
      </c>
      <c r="F46" s="21">
        <f t="shared" ref="F46:F49" si="4">D46*1000</f>
        <v>133500</v>
      </c>
      <c r="G46" s="19"/>
      <c r="H46" s="4"/>
      <c r="I46" s="4"/>
      <c r="J46" s="4"/>
      <c r="K46" s="4"/>
      <c r="L46" s="4"/>
      <c r="M46" s="15"/>
    </row>
    <row r="47" spans="1:13" x14ac:dyDescent="0.25">
      <c r="A47" s="38" t="s">
        <v>56</v>
      </c>
      <c r="B47" s="38"/>
      <c r="C47" s="3">
        <v>130.9</v>
      </c>
      <c r="D47" s="3">
        <v>116</v>
      </c>
      <c r="E47" s="21">
        <f>C47*1000</f>
        <v>130900</v>
      </c>
      <c r="F47" s="21">
        <f t="shared" si="4"/>
        <v>116000</v>
      </c>
      <c r="G47" s="19"/>
      <c r="H47" s="4"/>
      <c r="I47" s="4"/>
      <c r="J47" s="4"/>
      <c r="K47" s="4"/>
      <c r="L47" s="4"/>
      <c r="M47" s="4"/>
    </row>
    <row r="48" spans="1:13" x14ac:dyDescent="0.25">
      <c r="A48" s="38" t="s">
        <v>57</v>
      </c>
      <c r="B48" s="38"/>
      <c r="C48" s="3">
        <v>127.9</v>
      </c>
      <c r="D48" s="3">
        <v>101</v>
      </c>
      <c r="E48" s="21">
        <f t="shared" si="3"/>
        <v>127900</v>
      </c>
      <c r="F48" s="21">
        <f t="shared" si="4"/>
        <v>101000</v>
      </c>
      <c r="G48" s="19"/>
      <c r="H48" s="4"/>
      <c r="I48" s="4"/>
      <c r="J48" s="4"/>
      <c r="K48" s="4"/>
      <c r="L48" s="4"/>
      <c r="M48" s="4"/>
    </row>
    <row r="49" spans="1:13" x14ac:dyDescent="0.25">
      <c r="A49" s="38" t="s">
        <v>58</v>
      </c>
      <c r="B49" s="38"/>
      <c r="C49" s="3">
        <v>125.5</v>
      </c>
      <c r="D49" s="3">
        <v>91.1</v>
      </c>
      <c r="E49" s="21">
        <f t="shared" si="3"/>
        <v>125500</v>
      </c>
      <c r="F49" s="21">
        <f t="shared" si="4"/>
        <v>91100</v>
      </c>
      <c r="G49" s="19"/>
      <c r="H49" s="4"/>
      <c r="I49" s="4"/>
      <c r="J49" s="4"/>
      <c r="K49" s="4"/>
      <c r="L49" s="4"/>
      <c r="M49" s="4"/>
    </row>
    <row r="51" spans="1:13" x14ac:dyDescent="0.25">
      <c r="A51" s="34" t="s">
        <v>21</v>
      </c>
      <c r="B51" s="34"/>
      <c r="C51" s="34"/>
      <c r="D51" s="34"/>
      <c r="E51" s="34"/>
    </row>
    <row r="53" spans="1:13" x14ac:dyDescent="0.25">
      <c r="A53" s="32" t="s">
        <v>13</v>
      </c>
      <c r="B53" s="32"/>
      <c r="C53" s="32"/>
      <c r="D53" s="32"/>
      <c r="E53" s="32"/>
      <c r="F53" s="32"/>
      <c r="G53" s="32"/>
    </row>
    <row r="54" spans="1:13" x14ac:dyDescent="0.25">
      <c r="A54" s="20"/>
      <c r="B54" s="28" t="s">
        <v>71</v>
      </c>
      <c r="C54" s="28"/>
      <c r="D54" s="28"/>
      <c r="E54" s="29" t="s">
        <v>72</v>
      </c>
      <c r="F54" s="29"/>
      <c r="G54" s="29"/>
    </row>
    <row r="55" spans="1:13" x14ac:dyDescent="0.25">
      <c r="A55" s="11" t="s">
        <v>7</v>
      </c>
      <c r="B55" s="7" t="s">
        <v>8</v>
      </c>
      <c r="C55" s="7" t="s">
        <v>9</v>
      </c>
      <c r="D55" s="7" t="s">
        <v>10</v>
      </c>
      <c r="E55" s="7" t="s">
        <v>8</v>
      </c>
      <c r="F55" s="7" t="s">
        <v>9</v>
      </c>
      <c r="G55" s="7" t="s">
        <v>10</v>
      </c>
      <c r="H55" s="8" t="s">
        <v>11</v>
      </c>
      <c r="I55" s="51" t="s">
        <v>73</v>
      </c>
      <c r="J55" s="52"/>
      <c r="K55" s="52"/>
    </row>
    <row r="56" spans="1:13" x14ac:dyDescent="0.25">
      <c r="A56" s="3" t="s">
        <v>0</v>
      </c>
      <c r="B56" s="3">
        <v>119.7</v>
      </c>
      <c r="C56" s="3">
        <v>1.75</v>
      </c>
      <c r="D56" s="3">
        <v>201</v>
      </c>
      <c r="E56" s="21">
        <f>B56*91</f>
        <v>10892.7</v>
      </c>
      <c r="F56" s="21">
        <f>C56*100</f>
        <v>175</v>
      </c>
      <c r="G56" s="21">
        <f>D56*9100</f>
        <v>1829100</v>
      </c>
      <c r="H56" s="21">
        <f>SQRT((E56*F56)^2-G56^2)</f>
        <v>536728.43180350622</v>
      </c>
      <c r="I56" s="51"/>
      <c r="J56" s="52"/>
      <c r="K56" s="52"/>
    </row>
    <row r="57" spans="1:13" x14ac:dyDescent="0.25">
      <c r="A57" s="3" t="s">
        <v>1</v>
      </c>
      <c r="B57" s="12">
        <v>112</v>
      </c>
      <c r="C57" s="3">
        <v>0.98</v>
      </c>
      <c r="D57" s="3">
        <v>110</v>
      </c>
      <c r="E57" s="21">
        <f t="shared" ref="E57:E62" si="5">B57*91</f>
        <v>10192</v>
      </c>
      <c r="F57" s="21">
        <f t="shared" ref="F57:F62" si="6">C57*100</f>
        <v>98</v>
      </c>
      <c r="G57" s="21">
        <f t="shared" ref="G57:G62" si="7">D57*9100</f>
        <v>1001000</v>
      </c>
      <c r="H57" s="21" t="e">
        <f>SQRT((E57*F57)^2-G57^2)</f>
        <v>#NUM!</v>
      </c>
      <c r="I57" s="51"/>
      <c r="J57" s="52"/>
      <c r="K57" s="52"/>
    </row>
    <row r="58" spans="1:13" x14ac:dyDescent="0.25">
      <c r="A58" s="3" t="s">
        <v>2</v>
      </c>
      <c r="B58" s="9">
        <v>104</v>
      </c>
      <c r="C58" s="3">
        <v>2</v>
      </c>
      <c r="D58" s="3">
        <v>208</v>
      </c>
      <c r="E58" s="21">
        <f t="shared" si="5"/>
        <v>9464</v>
      </c>
      <c r="F58" s="21">
        <f t="shared" si="6"/>
        <v>200</v>
      </c>
      <c r="G58" s="21">
        <f t="shared" si="7"/>
        <v>1892800</v>
      </c>
      <c r="H58" s="21">
        <f>SQRT((E58*F58)^2-G58^2)</f>
        <v>0</v>
      </c>
      <c r="I58" s="51"/>
      <c r="J58" s="52"/>
      <c r="K58" s="52"/>
    </row>
    <row r="59" spans="1:13" x14ac:dyDescent="0.25">
      <c r="A59" s="3" t="s">
        <v>3</v>
      </c>
      <c r="B59" s="3">
        <v>106.1</v>
      </c>
      <c r="C59" s="3">
        <v>1.95</v>
      </c>
      <c r="D59" s="3">
        <v>112</v>
      </c>
      <c r="E59" s="21">
        <f t="shared" si="5"/>
        <v>9655.1</v>
      </c>
      <c r="F59" s="21">
        <f t="shared" si="6"/>
        <v>195</v>
      </c>
      <c r="G59" s="21">
        <f t="shared" si="7"/>
        <v>1019200</v>
      </c>
      <c r="H59" s="21">
        <f t="shared" ref="H59:H62" si="8">SQRT((E59*F59)^2-G59^2)</f>
        <v>1583021.8609609439</v>
      </c>
      <c r="I59" s="51"/>
      <c r="J59" s="52"/>
      <c r="K59" s="52"/>
    </row>
    <row r="60" spans="1:13" x14ac:dyDescent="0.25">
      <c r="A60" s="3" t="s">
        <v>4</v>
      </c>
      <c r="B60" s="12">
        <v>112</v>
      </c>
      <c r="C60" s="3">
        <v>0.82</v>
      </c>
      <c r="D60" s="3">
        <v>97</v>
      </c>
      <c r="E60" s="21">
        <f t="shared" si="5"/>
        <v>10192</v>
      </c>
      <c r="F60" s="21">
        <f t="shared" si="6"/>
        <v>82</v>
      </c>
      <c r="G60" s="21">
        <f t="shared" si="7"/>
        <v>882700</v>
      </c>
      <c r="H60" s="21" t="e">
        <f>SQRT((E60*F60)^2-G60^2)</f>
        <v>#NUM!</v>
      </c>
      <c r="I60" s="51"/>
      <c r="J60" s="52"/>
      <c r="K60" s="52"/>
    </row>
    <row r="61" spans="1:13" x14ac:dyDescent="0.25">
      <c r="A61" s="3" t="s">
        <v>5</v>
      </c>
      <c r="B61" s="8">
        <v>104.3</v>
      </c>
      <c r="C61" s="3">
        <v>1.36</v>
      </c>
      <c r="D61" s="3">
        <v>138</v>
      </c>
      <c r="E61" s="21">
        <f t="shared" si="5"/>
        <v>9491.2999999999993</v>
      </c>
      <c r="F61" s="21">
        <f t="shared" si="6"/>
        <v>136</v>
      </c>
      <c r="G61" s="21">
        <f t="shared" si="7"/>
        <v>1255800</v>
      </c>
      <c r="H61" s="21">
        <f t="shared" si="8"/>
        <v>298620.78153109085</v>
      </c>
      <c r="I61" s="51"/>
      <c r="J61" s="52"/>
      <c r="K61" s="52"/>
    </row>
    <row r="62" spans="1:13" x14ac:dyDescent="0.25">
      <c r="A62" s="3" t="s">
        <v>6</v>
      </c>
      <c r="B62" s="3">
        <v>118.9</v>
      </c>
      <c r="C62" s="3">
        <v>2.7</v>
      </c>
      <c r="D62" s="3">
        <v>277</v>
      </c>
      <c r="E62" s="21">
        <f t="shared" si="5"/>
        <v>10819.9</v>
      </c>
      <c r="F62" s="21">
        <f t="shared" si="6"/>
        <v>270</v>
      </c>
      <c r="G62" s="21">
        <f t="shared" si="7"/>
        <v>2520700</v>
      </c>
      <c r="H62" s="21">
        <f t="shared" si="8"/>
        <v>1476648.8123887142</v>
      </c>
      <c r="I62" s="51"/>
      <c r="J62" s="52"/>
      <c r="K62" s="52"/>
    </row>
    <row r="65" spans="1:8" x14ac:dyDescent="0.25">
      <c r="A65" s="32" t="s">
        <v>12</v>
      </c>
      <c r="B65" s="32"/>
      <c r="C65" s="32"/>
      <c r="D65" s="32"/>
      <c r="E65" s="32"/>
      <c r="F65" s="32"/>
      <c r="G65" s="32"/>
    </row>
    <row r="66" spans="1:8" x14ac:dyDescent="0.25">
      <c r="A66" s="20"/>
      <c r="B66" s="28" t="s">
        <v>71</v>
      </c>
      <c r="C66" s="28"/>
      <c r="D66" s="28"/>
      <c r="E66" s="29" t="s">
        <v>72</v>
      </c>
      <c r="F66" s="29"/>
      <c r="G66" s="29"/>
    </row>
    <row r="67" spans="1:8" x14ac:dyDescent="0.25">
      <c r="A67" s="11" t="s">
        <v>7</v>
      </c>
      <c r="B67" s="7" t="s">
        <v>8</v>
      </c>
      <c r="C67" s="7" t="s">
        <v>9</v>
      </c>
      <c r="D67" s="7" t="s">
        <v>10</v>
      </c>
      <c r="E67" s="7" t="s">
        <v>8</v>
      </c>
      <c r="F67" s="7" t="s">
        <v>9</v>
      </c>
      <c r="G67" s="26" t="s">
        <v>10</v>
      </c>
      <c r="H67" s="24"/>
    </row>
    <row r="68" spans="1:8" x14ac:dyDescent="0.25">
      <c r="A68" s="3" t="s">
        <v>0</v>
      </c>
      <c r="B68" s="3">
        <v>108.5</v>
      </c>
      <c r="C68" s="3">
        <v>2.72</v>
      </c>
      <c r="D68" s="3">
        <v>287</v>
      </c>
      <c r="E68" s="21">
        <f>B68*91</f>
        <v>9873.5</v>
      </c>
      <c r="F68" s="21">
        <f>C68*100</f>
        <v>272</v>
      </c>
      <c r="G68" s="27">
        <f>D68*9100</f>
        <v>2611700</v>
      </c>
      <c r="H68" s="24"/>
    </row>
    <row r="69" spans="1:8" x14ac:dyDescent="0.25">
      <c r="A69" s="3" t="s">
        <v>1</v>
      </c>
      <c r="B69" s="12">
        <v>95.5</v>
      </c>
      <c r="C69" s="3">
        <v>0.95</v>
      </c>
      <c r="D69" s="3">
        <v>88</v>
      </c>
      <c r="E69" s="21">
        <f t="shared" ref="E69:E74" si="9">B69*91</f>
        <v>8690.5</v>
      </c>
      <c r="F69" s="21">
        <f t="shared" ref="F69:F74" si="10">C69*100</f>
        <v>95</v>
      </c>
      <c r="G69" s="27">
        <f t="shared" ref="G69:G74" si="11">D69*9100</f>
        <v>800800</v>
      </c>
      <c r="H69" s="24"/>
    </row>
    <row r="70" spans="1:8" x14ac:dyDescent="0.25">
      <c r="A70" s="3" t="s">
        <v>2</v>
      </c>
      <c r="B70" s="8">
        <v>84</v>
      </c>
      <c r="C70" s="3">
        <v>1.77</v>
      </c>
      <c r="D70" s="3">
        <v>140</v>
      </c>
      <c r="E70" s="21">
        <f t="shared" si="9"/>
        <v>7644</v>
      </c>
      <c r="F70" s="21">
        <f t="shared" si="10"/>
        <v>177</v>
      </c>
      <c r="G70" s="27">
        <f t="shared" si="11"/>
        <v>1274000</v>
      </c>
      <c r="H70" s="24"/>
    </row>
    <row r="71" spans="1:8" x14ac:dyDescent="0.25">
      <c r="A71" s="3" t="s">
        <v>3</v>
      </c>
      <c r="B71" s="3">
        <v>109.7</v>
      </c>
      <c r="C71" s="3">
        <v>2</v>
      </c>
      <c r="D71" s="3">
        <v>119</v>
      </c>
      <c r="E71" s="21">
        <f t="shared" si="9"/>
        <v>9982.7000000000007</v>
      </c>
      <c r="F71" s="21">
        <f t="shared" si="10"/>
        <v>200</v>
      </c>
      <c r="G71" s="27">
        <f t="shared" si="11"/>
        <v>1082900</v>
      </c>
      <c r="H71" s="24"/>
    </row>
    <row r="72" spans="1:8" x14ac:dyDescent="0.25">
      <c r="A72" s="3" t="s">
        <v>4</v>
      </c>
      <c r="B72" s="12">
        <v>94</v>
      </c>
      <c r="C72" s="3">
        <v>1.8</v>
      </c>
      <c r="D72" s="3">
        <v>155</v>
      </c>
      <c r="E72" s="21">
        <f t="shared" si="9"/>
        <v>8554</v>
      </c>
      <c r="F72" s="21">
        <f t="shared" si="10"/>
        <v>180</v>
      </c>
      <c r="G72" s="27">
        <f t="shared" si="11"/>
        <v>1410500</v>
      </c>
      <c r="H72" s="24"/>
    </row>
    <row r="73" spans="1:8" x14ac:dyDescent="0.25">
      <c r="A73" s="3" t="s">
        <v>5</v>
      </c>
      <c r="B73" s="8">
        <v>86</v>
      </c>
      <c r="C73" s="3">
        <v>0</v>
      </c>
      <c r="D73" s="3">
        <v>0</v>
      </c>
      <c r="E73" s="21">
        <f t="shared" si="9"/>
        <v>7826</v>
      </c>
      <c r="F73" s="21">
        <f t="shared" si="10"/>
        <v>0</v>
      </c>
      <c r="G73" s="27">
        <f t="shared" si="11"/>
        <v>0</v>
      </c>
      <c r="H73" s="24"/>
    </row>
    <row r="74" spans="1:8" x14ac:dyDescent="0.25">
      <c r="A74" s="3" t="s">
        <v>6</v>
      </c>
      <c r="B74" s="3">
        <v>119.2</v>
      </c>
      <c r="C74" s="3">
        <v>2</v>
      </c>
      <c r="D74" s="3">
        <v>133</v>
      </c>
      <c r="E74" s="21">
        <f t="shared" si="9"/>
        <v>10847.2</v>
      </c>
      <c r="F74" s="21">
        <f t="shared" si="10"/>
        <v>200</v>
      </c>
      <c r="G74" s="27">
        <f t="shared" si="11"/>
        <v>1210300</v>
      </c>
      <c r="H74" s="24"/>
    </row>
    <row r="77" spans="1:8" x14ac:dyDescent="0.25">
      <c r="A77" s="32" t="s">
        <v>15</v>
      </c>
      <c r="B77" s="32"/>
      <c r="C77" s="32"/>
      <c r="D77" s="32"/>
      <c r="E77" s="32"/>
      <c r="F77" s="32"/>
      <c r="G77" s="32"/>
    </row>
    <row r="78" spans="1:8" x14ac:dyDescent="0.25">
      <c r="A78" s="20"/>
      <c r="B78" s="28" t="s">
        <v>71</v>
      </c>
      <c r="C78" s="28"/>
      <c r="D78" s="28"/>
      <c r="E78" s="29" t="s">
        <v>72</v>
      </c>
      <c r="F78" s="29"/>
      <c r="G78" s="29"/>
    </row>
    <row r="79" spans="1:8" x14ac:dyDescent="0.25">
      <c r="A79" s="11" t="s">
        <v>7</v>
      </c>
      <c r="B79" s="7" t="s">
        <v>8</v>
      </c>
      <c r="C79" s="7" t="s">
        <v>9</v>
      </c>
      <c r="D79" s="7" t="s">
        <v>10</v>
      </c>
      <c r="E79" s="7" t="s">
        <v>8</v>
      </c>
      <c r="F79" s="7" t="s">
        <v>9</v>
      </c>
      <c r="G79" s="7" t="s">
        <v>10</v>
      </c>
      <c r="H79" s="24"/>
    </row>
    <row r="80" spans="1:8" x14ac:dyDescent="0.25">
      <c r="A80" s="3" t="s">
        <v>0</v>
      </c>
      <c r="B80" s="3">
        <v>96.9</v>
      </c>
      <c r="C80" s="3">
        <v>0.84</v>
      </c>
      <c r="D80" s="3">
        <v>79</v>
      </c>
      <c r="E80" s="21">
        <f>B80*91</f>
        <v>8817.9</v>
      </c>
      <c r="F80" s="21">
        <f>C80*100</f>
        <v>84</v>
      </c>
      <c r="G80" s="21">
        <f>D80*9100</f>
        <v>718900</v>
      </c>
      <c r="H80" s="24"/>
    </row>
    <row r="81" spans="1:8" x14ac:dyDescent="0.25">
      <c r="A81" s="3" t="s">
        <v>1</v>
      </c>
      <c r="B81" s="12">
        <v>94.7</v>
      </c>
      <c r="C81" s="3">
        <v>1</v>
      </c>
      <c r="D81" s="3">
        <v>94</v>
      </c>
      <c r="E81" s="21">
        <f t="shared" ref="E81:E86" si="12">B81*91</f>
        <v>8617.7000000000007</v>
      </c>
      <c r="F81" s="21">
        <f t="shared" ref="F81:F86" si="13">C81*100</f>
        <v>100</v>
      </c>
      <c r="G81" s="21">
        <f t="shared" ref="G81:G86" si="14">D81*9100</f>
        <v>855400</v>
      </c>
      <c r="H81" s="24"/>
    </row>
    <row r="82" spans="1:8" x14ac:dyDescent="0.25">
      <c r="A82" s="3" t="s">
        <v>2</v>
      </c>
      <c r="B82" s="8">
        <v>97.3</v>
      </c>
      <c r="C82" s="3">
        <v>2</v>
      </c>
      <c r="D82" s="3">
        <v>195</v>
      </c>
      <c r="E82" s="21">
        <f t="shared" si="12"/>
        <v>8854.2999999999993</v>
      </c>
      <c r="F82" s="21">
        <f t="shared" si="13"/>
        <v>200</v>
      </c>
      <c r="G82" s="21">
        <f t="shared" si="14"/>
        <v>1774500</v>
      </c>
      <c r="H82" s="24"/>
    </row>
    <row r="83" spans="1:8" x14ac:dyDescent="0.25">
      <c r="A83" s="3" t="s">
        <v>3</v>
      </c>
      <c r="B83" s="3">
        <v>101</v>
      </c>
      <c r="C83" s="3">
        <v>1.88</v>
      </c>
      <c r="D83" s="3">
        <v>102</v>
      </c>
      <c r="E83" s="21">
        <f t="shared" si="12"/>
        <v>9191</v>
      </c>
      <c r="F83" s="21">
        <f t="shared" si="13"/>
        <v>188</v>
      </c>
      <c r="G83" s="21">
        <f t="shared" si="14"/>
        <v>928200</v>
      </c>
      <c r="H83" s="24"/>
    </row>
    <row r="84" spans="1:8" x14ac:dyDescent="0.25">
      <c r="A84" s="3" t="s">
        <v>4</v>
      </c>
      <c r="B84" s="12">
        <v>94.7</v>
      </c>
      <c r="C84" s="3">
        <v>0.28000000000000003</v>
      </c>
      <c r="D84" s="3">
        <v>16</v>
      </c>
      <c r="E84" s="21">
        <f t="shared" si="12"/>
        <v>8617.7000000000007</v>
      </c>
      <c r="F84" s="21">
        <f t="shared" si="13"/>
        <v>28.000000000000004</v>
      </c>
      <c r="G84" s="21">
        <f t="shared" si="14"/>
        <v>145600</v>
      </c>
      <c r="H84" s="24"/>
    </row>
    <row r="85" spans="1:8" x14ac:dyDescent="0.25">
      <c r="A85" s="3" t="s">
        <v>5</v>
      </c>
      <c r="B85" s="8">
        <v>97.2</v>
      </c>
      <c r="C85" s="3">
        <v>2.19</v>
      </c>
      <c r="D85" s="3">
        <v>210</v>
      </c>
      <c r="E85" s="21">
        <f t="shared" si="12"/>
        <v>8845.2000000000007</v>
      </c>
      <c r="F85" s="21">
        <f t="shared" si="13"/>
        <v>219</v>
      </c>
      <c r="G85" s="21">
        <f t="shared" si="14"/>
        <v>1911000</v>
      </c>
      <c r="H85" s="24"/>
    </row>
    <row r="86" spans="1:8" x14ac:dyDescent="0.25">
      <c r="A86" s="3" t="s">
        <v>6</v>
      </c>
      <c r="B86" s="3">
        <v>119</v>
      </c>
      <c r="C86" s="3">
        <v>3.7</v>
      </c>
      <c r="D86" s="3">
        <v>373</v>
      </c>
      <c r="E86" s="21">
        <f t="shared" si="12"/>
        <v>10829</v>
      </c>
      <c r="F86" s="21">
        <f t="shared" si="13"/>
        <v>370</v>
      </c>
      <c r="G86" s="21">
        <f t="shared" si="14"/>
        <v>3394300</v>
      </c>
      <c r="H86" s="24"/>
    </row>
    <row r="87" spans="1:8" x14ac:dyDescent="0.25">
      <c r="H87" s="25"/>
    </row>
  </sheetData>
  <mergeCells count="39">
    <mergeCell ref="I55:K62"/>
    <mergeCell ref="A14:I14"/>
    <mergeCell ref="A21:K21"/>
    <mergeCell ref="A43:B43"/>
    <mergeCell ref="A34:B34"/>
    <mergeCell ref="A33:K33"/>
    <mergeCell ref="A42:K42"/>
    <mergeCell ref="A40:B40"/>
    <mergeCell ref="A36:B36"/>
    <mergeCell ref="A38:B38"/>
    <mergeCell ref="A39:B39"/>
    <mergeCell ref="A2:E2"/>
    <mergeCell ref="A4:F4"/>
    <mergeCell ref="A51:E51"/>
    <mergeCell ref="A11:E11"/>
    <mergeCell ref="A25:E25"/>
    <mergeCell ref="A27:E27"/>
    <mergeCell ref="A28:E28"/>
    <mergeCell ref="A35:B35"/>
    <mergeCell ref="A47:B47"/>
    <mergeCell ref="A48:B48"/>
    <mergeCell ref="A37:B37"/>
    <mergeCell ref="C43:D43"/>
    <mergeCell ref="E43:F43"/>
    <mergeCell ref="A44:B44"/>
    <mergeCell ref="A46:B46"/>
    <mergeCell ref="A49:B49"/>
    <mergeCell ref="B78:D78"/>
    <mergeCell ref="E78:G78"/>
    <mergeCell ref="C34:D34"/>
    <mergeCell ref="E34:F34"/>
    <mergeCell ref="A65:G65"/>
    <mergeCell ref="A77:G77"/>
    <mergeCell ref="A53:G53"/>
    <mergeCell ref="B66:D66"/>
    <mergeCell ref="E66:G66"/>
    <mergeCell ref="B54:D54"/>
    <mergeCell ref="E54:G54"/>
    <mergeCell ref="A45:B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Fariz.Bin.Aqtar.Fariq.Syahril.oen</dc:creator>
  <cp:lastModifiedBy>Fariz.Bin.Aqtar.Fariq.Syahril.oen</cp:lastModifiedBy>
  <dcterms:created xsi:type="dcterms:W3CDTF">2026-05-02T01:25:36Z</dcterms:created>
  <dcterms:modified xsi:type="dcterms:W3CDTF">2026-05-09T22:57:01Z</dcterms:modified>
</cp:coreProperties>
</file>